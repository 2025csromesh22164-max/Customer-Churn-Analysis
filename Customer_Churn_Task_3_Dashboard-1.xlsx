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ask 2 Summary" sheetId="3" state="visible" r:id="rId3"/>
  </sheets>
  <definedNames>
    <definedName name="_xlnm._FilterDatabase" localSheetId="0" hidden="1">'Customer Data'!$A$1:$K$16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 months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FFFFFF"/>
      <sz val="13"/>
    </font>
    <font>
      <b val="1"/>
    </font>
    <font>
      <b val="1"/>
      <color rgb="00FFFFFF"/>
      <sz val="18"/>
    </font>
    <font>
      <b val="1"/>
      <color rgb="0017365D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0" fillId="0" borderId="2" pivotButton="0" quotePrefix="0" xfId="0"/>
    <xf numFmtId="164" fontId="0" fillId="0" borderId="2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7" fillId="0" borderId="0" applyAlignment="1" pivotButton="0" quotePrefix="0" xfId="0">
      <alignment horizontal="center"/>
    </xf>
    <xf numFmtId="10" fontId="6" fillId="6" borderId="3" applyAlignment="1" pivotButton="0" quotePrefix="0" xfId="0">
      <alignment horizontal="center" vertical="center"/>
    </xf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10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Customers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'Dashboard'!$B$14:$B$16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Customers by Subscription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'Dashboard'!$D$14:$D$16</f>
            </numRef>
          </cat>
          <val>
            <numRef>
              <f>'Dashboard'!$E$14:$E$16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Customers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'Dashboard'!$G$14:$G$17</f>
            </numRef>
          </cat>
          <val>
            <numRef>
              <f>'Dashboard'!$H$14:$H$17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'Dashboard'!$E$36:$E$38</f>
            </numRef>
          </cat>
          <val>
            <numRef>
              <f>'Dashboard'!$F$36:$F$38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39</row>
      <rowOff>0</rowOff>
    </from>
    <ext cx="39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1" customWidth="1" min="4" max="4"/>
    <col width="14" customWidth="1" min="5" max="5"/>
    <col width="15" customWidth="1" min="6" max="6"/>
    <col width="14" customWidth="1" min="7" max="7"/>
    <col width="18" customWidth="1" min="8" max="8"/>
    <col width="16" customWidth="1" min="9" max="9"/>
    <col width="16" customWidth="1" min="10" max="10"/>
    <col width="10" customWidth="1" min="11" max="11"/>
    <col width="12" customWidth="1" min="12" max="12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</t>
        </is>
      </c>
      <c r="E1" s="1" t="inlineStr">
        <is>
          <t>Subscription</t>
        </is>
      </c>
      <c r="F1" s="1" t="inlineStr">
        <is>
          <t>MonthlyCharge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  <c r="L1" s="2" t="inlineStr">
        <is>
          <t>Selected</t>
        </is>
      </c>
    </row>
    <row r="2">
      <c r="A2" s="3" t="inlineStr">
        <is>
          <t>CUST-1001</t>
        </is>
      </c>
      <c r="B2" s="3" t="inlineStr">
        <is>
          <t>Female</t>
        </is>
      </c>
      <c r="C2" s="3" t="n">
        <v>34</v>
      </c>
      <c r="D2" s="3" t="n">
        <v>12</v>
      </c>
      <c r="E2" s="3" t="inlineStr">
        <is>
          <t>Basic</t>
        </is>
      </c>
      <c r="F2" s="4" t="n">
        <v>49.99</v>
      </c>
      <c r="G2" s="4" t="n">
        <v>599.88</v>
      </c>
      <c r="H2" s="3" t="inlineStr">
        <is>
          <t>Month-to-month</t>
        </is>
      </c>
      <c r="I2" s="3" t="n">
        <v>3</v>
      </c>
      <c r="J2" s="3" t="inlineStr">
        <is>
          <t>Credit Card</t>
        </is>
      </c>
      <c r="K2" s="3" t="inlineStr">
        <is>
          <t>Yes</t>
        </is>
      </c>
      <c r="L2">
        <f>--AND(OR(Dashboard!$B$5="All",H2=Dashboard!$B$5),OR(Dashboard!$H$5="All",J2=Dashboard!$H$5),OR(Dashboard!$E$5="All",IF(Dashboard!$E$5="0–12 months",D2&lt;=12,IF(Dashboard!$E$5="13–24 months",AND(D2&gt;=13,D2&lt;=24),D2&gt;=25))))</f>
        <v/>
      </c>
    </row>
    <row r="3">
      <c r="A3" s="3" t="inlineStr">
        <is>
          <t>CUST-1002</t>
        </is>
      </c>
      <c r="B3" s="3" t="inlineStr">
        <is>
          <t>Male</t>
        </is>
      </c>
      <c r="C3" s="3" t="n">
        <v>45</v>
      </c>
      <c r="D3" s="3" t="n">
        <v>24</v>
      </c>
      <c r="E3" s="3" t="inlineStr">
        <is>
          <t>Pro</t>
        </is>
      </c>
      <c r="F3" s="4" t="n">
        <v>79.98999999999999</v>
      </c>
      <c r="G3" s="4" t="n">
        <v>1919.76</v>
      </c>
      <c r="H3" s="3" t="inlineStr">
        <is>
          <t>One Year</t>
        </is>
      </c>
      <c r="I3" s="3" t="n">
        <v>1</v>
      </c>
      <c r="J3" s="3" t="inlineStr">
        <is>
          <t>Bank Transfer</t>
        </is>
      </c>
      <c r="K3" s="3" t="inlineStr">
        <is>
          <t>No</t>
        </is>
      </c>
      <c r="L3">
        <f>--AND(OR(Dashboard!$B$5="All",H3=Dashboard!$B$5),OR(Dashboard!$H$5="All",J3=Dashboard!$H$5),OR(Dashboard!$E$5="All",IF(Dashboard!$E$5="0–12 months",D3&lt;=12,IF(Dashboard!$E$5="13–24 months",AND(D3&gt;=13,D3&lt;=24),D3&gt;=25))))</f>
        <v/>
      </c>
    </row>
    <row r="4">
      <c r="A4" s="3" t="inlineStr">
        <is>
          <t>CUST-1003</t>
        </is>
      </c>
      <c r="B4" s="3" t="inlineStr">
        <is>
          <t>Female</t>
        </is>
      </c>
      <c r="C4" s="3" t="n">
        <v>29</v>
      </c>
      <c r="D4" s="3" t="n">
        <v>6</v>
      </c>
      <c r="E4" s="3" t="inlineStr">
        <is>
          <t>Basic</t>
        </is>
      </c>
      <c r="F4" s="4" t="n">
        <v>49.99</v>
      </c>
      <c r="G4" s="4" t="n">
        <v>299.94</v>
      </c>
      <c r="H4" s="3" t="inlineStr">
        <is>
          <t>Month-to-month</t>
        </is>
      </c>
      <c r="I4" s="3" t="n">
        <v>5</v>
      </c>
      <c r="J4" s="3" t="inlineStr">
        <is>
          <t>UPI</t>
        </is>
      </c>
      <c r="K4" s="3" t="inlineStr">
        <is>
          <t>Yes</t>
        </is>
      </c>
      <c r="L4">
        <f>--AND(OR(Dashboard!$B$5="All",H4=Dashboard!$B$5),OR(Dashboard!$H$5="All",J4=Dashboard!$H$5),OR(Dashboard!$E$5="All",IF(Dashboard!$E$5="0–12 months",D4&lt;=12,IF(Dashboard!$E$5="13–24 months",AND(D4&gt;=13,D4&lt;=24),D4&gt;=25))))</f>
        <v/>
      </c>
    </row>
    <row r="5">
      <c r="A5" s="3" t="inlineStr">
        <is>
          <t>CUST-1004</t>
        </is>
      </c>
      <c r="B5" s="3" t="inlineStr">
        <is>
          <t>Male</t>
        </is>
      </c>
      <c r="C5" s="3" t="n">
        <v>52</v>
      </c>
      <c r="D5" s="3" t="n">
        <v>36</v>
      </c>
      <c r="E5" s="3" t="inlineStr">
        <is>
          <t>Enterprise</t>
        </is>
      </c>
      <c r="F5" s="4" t="n">
        <v>149.99</v>
      </c>
      <c r="G5" s="4" t="n">
        <v>5399.64</v>
      </c>
      <c r="H5" s="3" t="inlineStr">
        <is>
          <t>Two Year</t>
        </is>
      </c>
      <c r="I5" s="3" t="n">
        <v>0</v>
      </c>
      <c r="J5" s="3" t="inlineStr">
        <is>
          <t>Credit Card</t>
        </is>
      </c>
      <c r="K5" s="3" t="inlineStr">
        <is>
          <t>No</t>
        </is>
      </c>
      <c r="L5">
        <f>--AND(OR(Dashboard!$B$5="All",H5=Dashboard!$B$5),OR(Dashboard!$H$5="All",J5=Dashboard!$H$5),OR(Dashboard!$E$5="All",IF(Dashboard!$E$5="0–12 months",D5&lt;=12,IF(Dashboard!$E$5="13–24 months",AND(D5&gt;=13,D5&lt;=24),D5&gt;=25))))</f>
        <v/>
      </c>
    </row>
    <row r="6">
      <c r="A6" s="3" t="inlineStr">
        <is>
          <t>CUST-1005</t>
        </is>
      </c>
      <c r="B6" s="3" t="inlineStr">
        <is>
          <t>Female</t>
        </is>
      </c>
      <c r="C6" s="3" t="n">
        <v>41</v>
      </c>
      <c r="D6" s="3" t="n">
        <v>8</v>
      </c>
      <c r="E6" s="3" t="inlineStr">
        <is>
          <t>Pro</t>
        </is>
      </c>
      <c r="F6" s="4" t="n">
        <v>79.98999999999999</v>
      </c>
      <c r="G6" s="4" t="n">
        <v>639.92</v>
      </c>
      <c r="H6" s="3" t="inlineStr">
        <is>
          <t>Month-to-month</t>
        </is>
      </c>
      <c r="I6" s="3" t="n">
        <v>4</v>
      </c>
      <c r="J6" s="3" t="inlineStr">
        <is>
          <t>Debit Card</t>
        </is>
      </c>
      <c r="K6" s="3" t="inlineStr">
        <is>
          <t>Yes</t>
        </is>
      </c>
      <c r="L6">
        <f>--AND(OR(Dashboard!$B$5="All",H6=Dashboard!$B$5),OR(Dashboard!$H$5="All",J6=Dashboard!$H$5),OR(Dashboard!$E$5="All",IF(Dashboard!$E$5="0–12 months",D6&lt;=12,IF(Dashboard!$E$5="13–24 months",AND(D6&gt;=13,D6&lt;=24),D6&gt;=25))))</f>
        <v/>
      </c>
    </row>
    <row r="7">
      <c r="A7" s="3" t="inlineStr">
        <is>
          <t>CUST-1006</t>
        </is>
      </c>
      <c r="B7" s="3" t="inlineStr">
        <is>
          <t>Male</t>
        </is>
      </c>
      <c r="C7" s="3" t="n">
        <v>31</v>
      </c>
      <c r="D7" s="3" t="n">
        <v>18</v>
      </c>
      <c r="E7" s="3" t="inlineStr">
        <is>
          <t>Basic</t>
        </is>
      </c>
      <c r="F7" s="4" t="n">
        <v>49.99</v>
      </c>
      <c r="G7" s="4" t="n">
        <v>899.8200000000001</v>
      </c>
      <c r="H7" s="3" t="inlineStr">
        <is>
          <t>Month-to-month</t>
        </is>
      </c>
      <c r="I7" s="3" t="n">
        <v>2</v>
      </c>
      <c r="J7" s="3" t="inlineStr">
        <is>
          <t>UPI</t>
        </is>
      </c>
      <c r="K7" s="3" t="inlineStr">
        <is>
          <t>No</t>
        </is>
      </c>
      <c r="L7">
        <f>--AND(OR(Dashboard!$B$5="All",H7=Dashboard!$B$5),OR(Dashboard!$H$5="All",J7=Dashboard!$H$5),OR(Dashboard!$E$5="All",IF(Dashboard!$E$5="0–12 months",D7&lt;=12,IF(Dashboard!$E$5="13–24 months",AND(D7&gt;=13,D7&lt;=24),D7&gt;=25))))</f>
        <v/>
      </c>
    </row>
    <row r="8">
      <c r="A8" s="3" t="inlineStr">
        <is>
          <t>CUST-1007</t>
        </is>
      </c>
      <c r="B8" s="3" t="inlineStr">
        <is>
          <t>Female</t>
        </is>
      </c>
      <c r="C8" s="3" t="n">
        <v>23</v>
      </c>
      <c r="D8" s="3" t="n">
        <v>3</v>
      </c>
      <c r="E8" s="3" t="inlineStr">
        <is>
          <t>Basic</t>
        </is>
      </c>
      <c r="F8" s="4" t="n">
        <v>49.99</v>
      </c>
      <c r="G8" s="4" t="n">
        <v>149.97</v>
      </c>
      <c r="H8" s="3" t="inlineStr">
        <is>
          <t>Month-to-month</t>
        </is>
      </c>
      <c r="I8" s="3" t="n">
        <v>6</v>
      </c>
      <c r="J8" s="3" t="inlineStr">
        <is>
          <t>Credit Card</t>
        </is>
      </c>
      <c r="K8" s="3" t="inlineStr">
        <is>
          <t>Yes</t>
        </is>
      </c>
      <c r="L8">
        <f>--AND(OR(Dashboard!$B$5="All",H8=Dashboard!$B$5),OR(Dashboard!$H$5="All",J8=Dashboard!$H$5),OR(Dashboard!$E$5="All",IF(Dashboard!$E$5="0–12 months",D8&lt;=12,IF(Dashboard!$E$5="13–24 months",AND(D8&gt;=13,D8&lt;=24),D8&gt;=25))))</f>
        <v/>
      </c>
    </row>
    <row r="9">
      <c r="A9" s="3" t="inlineStr">
        <is>
          <t>CUST-1008</t>
        </is>
      </c>
      <c r="B9" s="3" t="inlineStr">
        <is>
          <t>Male</t>
        </is>
      </c>
      <c r="C9" s="3" t="n">
        <v>60</v>
      </c>
      <c r="D9" s="3" t="n">
        <v>48</v>
      </c>
      <c r="E9" s="3" t="inlineStr">
        <is>
          <t>Enterprise</t>
        </is>
      </c>
      <c r="F9" s="4" t="n">
        <v>149.99</v>
      </c>
      <c r="G9" s="4" t="n">
        <v>7199.52</v>
      </c>
      <c r="H9" s="3" t="inlineStr">
        <is>
          <t>Two Year</t>
        </is>
      </c>
      <c r="I9" s="3" t="n">
        <v>1</v>
      </c>
      <c r="J9" s="3" t="inlineStr">
        <is>
          <t>Bank Transfer</t>
        </is>
      </c>
      <c r="K9" s="3" t="inlineStr">
        <is>
          <t>No</t>
        </is>
      </c>
      <c r="L9">
        <f>--AND(OR(Dashboard!$B$5="All",H9=Dashboard!$B$5),OR(Dashboard!$H$5="All",J9=Dashboard!$H$5),OR(Dashboard!$E$5="All",IF(Dashboard!$E$5="0–12 months",D9&lt;=12,IF(Dashboard!$E$5="13–24 months",AND(D9&gt;=13,D9&lt;=24),D9&gt;=25))))</f>
        <v/>
      </c>
    </row>
    <row r="10">
      <c r="A10" s="3" t="inlineStr">
        <is>
          <t>CUST-1009</t>
        </is>
      </c>
      <c r="B10" s="3" t="inlineStr">
        <is>
          <t>Female</t>
        </is>
      </c>
      <c r="C10" s="3" t="n">
        <v>38</v>
      </c>
      <c r="D10" s="3" t="n">
        <v>15</v>
      </c>
      <c r="E10" s="3" t="inlineStr">
        <is>
          <t>Pro</t>
        </is>
      </c>
      <c r="F10" s="4" t="n">
        <v>79.98999999999999</v>
      </c>
      <c r="G10" s="4" t="n">
        <v>1199.85</v>
      </c>
      <c r="H10" s="3" t="inlineStr">
        <is>
          <t>One Year</t>
        </is>
      </c>
      <c r="I10" s="3" t="n">
        <v>2</v>
      </c>
      <c r="J10" s="3" t="inlineStr">
        <is>
          <t>Credit Card</t>
        </is>
      </c>
      <c r="K10" s="3" t="inlineStr">
        <is>
          <t>No</t>
        </is>
      </c>
      <c r="L10">
        <f>--AND(OR(Dashboard!$B$5="All",H10=Dashboard!$B$5),OR(Dashboard!$H$5="All",J10=Dashboard!$H$5),OR(Dashboard!$E$5="All",IF(Dashboard!$E$5="0–12 months",D10&lt;=12,IF(Dashboard!$E$5="13–24 months",AND(D10&gt;=13,D10&lt;=24),D10&gt;=25))))</f>
        <v/>
      </c>
    </row>
    <row r="11">
      <c r="A11" s="3" t="inlineStr">
        <is>
          <t>CUST-1010</t>
        </is>
      </c>
      <c r="B11" s="3" t="inlineStr">
        <is>
          <t>Male</t>
        </is>
      </c>
      <c r="C11" s="3" t="n">
        <v>27</v>
      </c>
      <c r="D11" s="3" t="n">
        <v>4</v>
      </c>
      <c r="E11" s="3" t="inlineStr">
        <is>
          <t>Basic</t>
        </is>
      </c>
      <c r="F11" s="4" t="n">
        <v>49.99</v>
      </c>
      <c r="G11" s="4" t="n">
        <v>199.96</v>
      </c>
      <c r="H11" s="3" t="inlineStr">
        <is>
          <t>Month-to-month</t>
        </is>
      </c>
      <c r="I11" s="3" t="n">
        <v>4</v>
      </c>
      <c r="J11" s="3" t="inlineStr">
        <is>
          <t>UPI</t>
        </is>
      </c>
      <c r="K11" s="3" t="inlineStr">
        <is>
          <t>Yes</t>
        </is>
      </c>
      <c r="L11">
        <f>--AND(OR(Dashboard!$B$5="All",H11=Dashboard!$B$5),OR(Dashboard!$H$5="All",J11=Dashboard!$H$5),OR(Dashboard!$E$5="All",IF(Dashboard!$E$5="0–12 months",D11&lt;=12,IF(Dashboard!$E$5="13–24 months",AND(D11&gt;=13,D11&lt;=24),D11&gt;=25))))</f>
        <v/>
      </c>
    </row>
    <row r="12">
      <c r="A12" s="3" t="inlineStr">
        <is>
          <t>CUST-1011</t>
        </is>
      </c>
      <c r="B12" s="3" t="inlineStr">
        <is>
          <t>Female</t>
        </is>
      </c>
      <c r="C12" s="3" t="n">
        <v>49</v>
      </c>
      <c r="D12" s="3" t="n">
        <v>30</v>
      </c>
      <c r="E12" s="3" t="inlineStr">
        <is>
          <t>Enterprise</t>
        </is>
      </c>
      <c r="F12" s="4" t="n">
        <v>149.99</v>
      </c>
      <c r="G12" s="4" t="n">
        <v>4499.7</v>
      </c>
      <c r="H12" s="3" t="inlineStr">
        <is>
          <t>Two Year</t>
        </is>
      </c>
      <c r="I12" s="3" t="n">
        <v>0</v>
      </c>
      <c r="J12" s="3" t="inlineStr">
        <is>
          <t>Credit Card</t>
        </is>
      </c>
      <c r="K12" s="3" t="inlineStr">
        <is>
          <t>No</t>
        </is>
      </c>
      <c r="L12">
        <f>--AND(OR(Dashboard!$B$5="All",H12=Dashboard!$B$5),OR(Dashboard!$H$5="All",J12=Dashboard!$H$5),OR(Dashboard!$E$5="All",IF(Dashboard!$E$5="0–12 months",D12&lt;=12,IF(Dashboard!$E$5="13–24 months",AND(D12&gt;=13,D12&lt;=24),D12&gt;=25))))</f>
        <v/>
      </c>
    </row>
    <row r="13">
      <c r="A13" s="3" t="inlineStr">
        <is>
          <t>CUST-1012</t>
        </is>
      </c>
      <c r="B13" s="3" t="inlineStr">
        <is>
          <t>Male</t>
        </is>
      </c>
      <c r="C13" s="3" t="n">
        <v>33</v>
      </c>
      <c r="D13" s="3" t="n">
        <v>14</v>
      </c>
      <c r="E13" s="3" t="inlineStr">
        <is>
          <t>Pro</t>
        </is>
      </c>
      <c r="F13" s="4" t="n">
        <v>79.98999999999999</v>
      </c>
      <c r="G13" s="4" t="n">
        <v>1119.86</v>
      </c>
      <c r="H13" s="3" t="inlineStr">
        <is>
          <t>Month-to-month</t>
        </is>
      </c>
      <c r="I13" s="3" t="n">
        <v>3</v>
      </c>
      <c r="J13" s="3" t="inlineStr">
        <is>
          <t>Debit Card</t>
        </is>
      </c>
      <c r="K13" s="3" t="inlineStr">
        <is>
          <t>Yes</t>
        </is>
      </c>
      <c r="L13">
        <f>--AND(OR(Dashboard!$B$5="All",H13=Dashboard!$B$5),OR(Dashboard!$H$5="All",J13=Dashboard!$H$5),OR(Dashboard!$E$5="All",IF(Dashboard!$E$5="0–12 months",D13&lt;=12,IF(Dashboard!$E$5="13–24 months",AND(D13&gt;=13,D13&lt;=24),D13&gt;=25))))</f>
        <v/>
      </c>
    </row>
    <row r="14">
      <c r="A14" s="3" t="inlineStr">
        <is>
          <t>CUST-1013</t>
        </is>
      </c>
      <c r="B14" s="3" t="inlineStr">
        <is>
          <t>Female</t>
        </is>
      </c>
      <c r="C14" s="3" t="n">
        <v>55</v>
      </c>
      <c r="D14" s="3" t="n">
        <v>22</v>
      </c>
      <c r="E14" s="3" t="inlineStr">
        <is>
          <t>Basic</t>
        </is>
      </c>
      <c r="F14" s="4" t="n">
        <v>49.99</v>
      </c>
      <c r="G14" s="4" t="n">
        <v>1099.78</v>
      </c>
      <c r="H14" s="3" t="inlineStr">
        <is>
          <t>One Year</t>
        </is>
      </c>
      <c r="I14" s="3" t="n">
        <v>1</v>
      </c>
      <c r="J14" s="3" t="inlineStr">
        <is>
          <t>Bank Transfer</t>
        </is>
      </c>
      <c r="K14" s="3" t="inlineStr">
        <is>
          <t>No</t>
        </is>
      </c>
      <c r="L14">
        <f>--AND(OR(Dashboard!$B$5="All",H14=Dashboard!$B$5),OR(Dashboard!$H$5="All",J14=Dashboard!$H$5),OR(Dashboard!$E$5="All",IF(Dashboard!$E$5="0–12 months",D14&lt;=12,IF(Dashboard!$E$5="13–24 months",AND(D14&gt;=13,D14&lt;=24),D14&gt;=25))))</f>
        <v/>
      </c>
    </row>
    <row r="15">
      <c r="A15" s="3" t="inlineStr">
        <is>
          <t>CUST-1014</t>
        </is>
      </c>
      <c r="B15" s="3" t="inlineStr">
        <is>
          <t>Male</t>
        </is>
      </c>
      <c r="C15" s="3" t="n">
        <v>26</v>
      </c>
      <c r="D15" s="3" t="n">
        <v>2</v>
      </c>
      <c r="E15" s="3" t="inlineStr">
        <is>
          <t>Basic</t>
        </is>
      </c>
      <c r="F15" s="4" t="n">
        <v>49.99</v>
      </c>
      <c r="G15" s="4" t="n">
        <v>99.98</v>
      </c>
      <c r="H15" s="3" t="inlineStr">
        <is>
          <t>Month-to-month</t>
        </is>
      </c>
      <c r="I15" s="3" t="n">
        <v>5</v>
      </c>
      <c r="J15" s="3" t="inlineStr">
        <is>
          <t>UPI</t>
        </is>
      </c>
      <c r="K15" s="3" t="inlineStr">
        <is>
          <t>Yes</t>
        </is>
      </c>
      <c r="L15">
        <f>--AND(OR(Dashboard!$B$5="All",H15=Dashboard!$B$5),OR(Dashboard!$H$5="All",J15=Dashboard!$H$5),OR(Dashboard!$E$5="All",IF(Dashboard!$E$5="0–12 months",D15&lt;=12,IF(Dashboard!$E$5="13–24 months",AND(D15&gt;=13,D15&lt;=24),D15&gt;=25))))</f>
        <v/>
      </c>
    </row>
    <row r="16">
      <c r="A16" s="3" t="inlineStr">
        <is>
          <t>CUST-1015</t>
        </is>
      </c>
      <c r="B16" s="3" t="inlineStr">
        <is>
          <t>Female</t>
        </is>
      </c>
      <c r="C16" s="3" t="n">
        <v>43</v>
      </c>
      <c r="D16" s="3" t="n">
        <v>40</v>
      </c>
      <c r="E16" s="3" t="inlineStr">
        <is>
          <t>Enterprise</t>
        </is>
      </c>
      <c r="F16" s="4" t="n">
        <v>149.99</v>
      </c>
      <c r="G16" s="4" t="n">
        <v>5999.6</v>
      </c>
      <c r="H16" s="3" t="inlineStr">
        <is>
          <t>Two Year</t>
        </is>
      </c>
      <c r="I16" s="3" t="n">
        <v>1</v>
      </c>
      <c r="J16" s="3" t="inlineStr">
        <is>
          <t>Credit Card</t>
        </is>
      </c>
      <c r="K16" s="3" t="inlineStr">
        <is>
          <t>No</t>
        </is>
      </c>
      <c r="L16">
        <f>--AND(OR(Dashboard!$B$5="All",H16=Dashboard!$B$5),OR(Dashboard!$H$5="All",J16=Dashboard!$H$5),OR(Dashboard!$E$5="All",IF(Dashboard!$E$5="0–12 months",D16&lt;=12,IF(Dashboard!$E$5="13–24 months",AND(D16&gt;=13,D16&lt;=24),D16&gt;=25))))</f>
        <v/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2" customHeight="1">
      <c r="A1" s="5" t="inlineStr">
        <is>
          <t>CUSTOMER CHURN — BUSINESS KPI DASHBOARD</t>
        </is>
      </c>
    </row>
    <row r="2" ht="22" customHeight="1">
      <c r="A2" s="6" t="inlineStr">
        <is>
          <t>Task 3 • Interactive KPI view based on the Task 2 cleaned dataset</t>
        </is>
      </c>
    </row>
    <row r="3" ht="22" customHeight="1"/>
    <row r="4" ht="22" customHeight="1">
      <c r="A4" s="7" t="inlineStr">
        <is>
          <t>FILTERS</t>
        </is>
      </c>
    </row>
    <row r="5" ht="22" customHeight="1">
      <c r="A5" s="8" t="inlineStr">
        <is>
          <t>Contract Type</t>
        </is>
      </c>
      <c r="B5" s="9" t="inlineStr">
        <is>
          <t>All</t>
        </is>
      </c>
      <c r="D5" s="8" t="inlineStr">
        <is>
          <t>Tenure Band</t>
        </is>
      </c>
      <c r="E5" s="9" t="inlineStr">
        <is>
          <t>All</t>
        </is>
      </c>
      <c r="G5" s="8" t="inlineStr">
        <is>
          <t>Payment Method</t>
        </is>
      </c>
      <c r="H5" s="9" t="inlineStr">
        <is>
          <t>All</t>
        </is>
      </c>
    </row>
    <row r="6" ht="22" customHeight="1">
      <c r="A6" s="10" t="inlineStr">
        <is>
          <t>CHURN RATE</t>
        </is>
      </c>
      <c r="C6" s="10" t="inlineStr">
        <is>
          <t>RETENTION RATE</t>
        </is>
      </c>
      <c r="E6" s="10" t="inlineStr">
        <is>
          <t>REVENUE AT RISK</t>
        </is>
      </c>
      <c r="G6" s="10" t="inlineStr">
        <is>
          <t>AVG TENURE</t>
        </is>
      </c>
    </row>
    <row r="7" ht="25" customHeight="1">
      <c r="A7" s="11">
        <f>IFERROR(SUMPRODUCT('Customer Data'!$L$2:$L$16,--('Customer Data'!$K$2:$K$16="Yes"))/SUM('Customer Data'!$L$2:$L$16),0)</f>
        <v/>
      </c>
      <c r="C7" s="11">
        <f>1-B8</f>
        <v/>
      </c>
      <c r="E7" s="12">
        <f>SUMPRODUCT('Customer Data'!$L$2:$L$16,--('Customer Data'!$K$2:$K$16="Yes"),'Customer Data'!$G$2:$G$16)</f>
        <v/>
      </c>
      <c r="G7" s="13">
        <f>IFERROR(SUMPRODUCT('Customer Data'!$L$2:$L$16,'Customer Data'!$D$2:$D$16)/SUM('Customer Data'!$L$2:$L$16),0)</f>
        <v/>
      </c>
    </row>
    <row r="8" ht="25" customHeight="1"/>
    <row r="9" ht="25" customHeight="1"/>
    <row r="10" ht="22" customHeight="1"/>
    <row r="11" ht="22" customHeight="1"/>
    <row r="12" ht="22" customHeight="1">
      <c r="A12" s="7" t="inlineStr">
        <is>
          <t>Churn by Contract Type</t>
        </is>
      </c>
      <c r="D12" s="7" t="inlineStr">
        <is>
          <t>Churn by Subscription</t>
        </is>
      </c>
      <c r="G12" s="7" t="inlineStr">
        <is>
          <t>Churn by Payment Method</t>
        </is>
      </c>
    </row>
    <row r="13" ht="22" customHeight="1">
      <c r="A13" s="14" t="inlineStr">
        <is>
          <t>Contract Type</t>
        </is>
      </c>
      <c r="B13" s="14" t="inlineStr">
        <is>
          <t>Churned Customers</t>
        </is>
      </c>
      <c r="C13" s="14" t="n"/>
      <c r="D13" s="14" t="inlineStr">
        <is>
          <t>Subscription</t>
        </is>
      </c>
      <c r="E13" s="14" t="inlineStr">
        <is>
          <t>Churned Customers</t>
        </is>
      </c>
      <c r="F13" s="14" t="n"/>
      <c r="G13" s="14" t="inlineStr">
        <is>
          <t>Payment Method</t>
        </is>
      </c>
      <c r="H13" s="14" t="inlineStr">
        <is>
          <t>Churned Customers</t>
        </is>
      </c>
    </row>
    <row r="14" ht="22" customHeight="1">
      <c r="A14" s="15" t="inlineStr">
        <is>
          <t>Month-to-month</t>
        </is>
      </c>
      <c r="B14" s="15">
        <f>COUNTIFS('Customer Data'!$H$2:$H$16,A14,'Customer Data'!$K$2:$K$16,"Yes")</f>
        <v/>
      </c>
      <c r="C14" s="15" t="n"/>
      <c r="D14" s="15" t="inlineStr">
        <is>
          <t>Basic</t>
        </is>
      </c>
      <c r="E14" s="15">
        <f>COUNTIFS('Customer Data'!$E$2:$E$16,D14,'Customer Data'!$K$2:$K$16,"Yes")</f>
        <v/>
      </c>
      <c r="F14" s="15" t="n"/>
      <c r="G14" s="15" t="inlineStr">
        <is>
          <t>Credit Card</t>
        </is>
      </c>
      <c r="H14" s="15">
        <f>COUNTIFS('Customer Data'!$J$2:$J$16,G14,'Customer Data'!$K$2:$K$16,"Yes")</f>
        <v/>
      </c>
    </row>
    <row r="15" ht="22" customHeight="1">
      <c r="A15" s="15" t="inlineStr">
        <is>
          <t>One Year</t>
        </is>
      </c>
      <c r="B15" s="15">
        <f>COUNTIFS('Customer Data'!$H$2:$H$16,A15,'Customer Data'!$K$2:$K$16,"Yes")</f>
        <v/>
      </c>
      <c r="C15" s="15" t="n"/>
      <c r="D15" s="15" t="inlineStr">
        <is>
          <t>Pro</t>
        </is>
      </c>
      <c r="E15" s="15">
        <f>COUNTIFS('Customer Data'!$E$2:$E$16,D15,'Customer Data'!$K$2:$K$16,"Yes")</f>
        <v/>
      </c>
      <c r="F15" s="15" t="n"/>
      <c r="G15" s="15" t="inlineStr">
        <is>
          <t>Bank Transfer</t>
        </is>
      </c>
      <c r="H15" s="15">
        <f>COUNTIFS('Customer Data'!$J$2:$J$16,G15,'Customer Data'!$K$2:$K$16,"Yes")</f>
        <v/>
      </c>
    </row>
    <row r="16" ht="22" customHeight="1">
      <c r="A16" s="15" t="inlineStr">
        <is>
          <t>Two Year</t>
        </is>
      </c>
      <c r="B16" s="15">
        <f>COUNTIFS('Customer Data'!$H$2:$H$16,A16,'Customer Data'!$K$2:$K$16,"Yes")</f>
        <v/>
      </c>
      <c r="C16" s="15" t="n"/>
      <c r="D16" s="15" t="inlineStr">
        <is>
          <t>Enterprise</t>
        </is>
      </c>
      <c r="E16" s="15">
        <f>COUNTIFS('Customer Data'!$E$2:$E$16,D16,'Customer Data'!$K$2:$K$16,"Yes")</f>
        <v/>
      </c>
      <c r="F16" s="15" t="n"/>
      <c r="G16" s="15" t="inlineStr">
        <is>
          <t>UPI</t>
        </is>
      </c>
      <c r="H16" s="15">
        <f>COUNTIFS('Customer Data'!$J$2:$J$16,G16,'Customer Data'!$K$2:$K$16,"Yes")</f>
        <v/>
      </c>
    </row>
    <row r="17" ht="22" customHeight="1">
      <c r="A17" s="15" t="n"/>
      <c r="B17" s="15" t="n"/>
      <c r="C17" s="15" t="n"/>
      <c r="D17" s="15" t="n"/>
      <c r="E17" s="15" t="n"/>
      <c r="F17" s="15" t="n"/>
      <c r="G17" s="15" t="inlineStr">
        <is>
          <t>Debit Card</t>
        </is>
      </c>
      <c r="H17" s="15">
        <f>COUNTIFS('Customer Data'!$J$2:$J$16,G17,'Customer Data'!$K$2:$K$16,"Yes")</f>
        <v/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>
      <c r="E34" s="7" t="inlineStr">
        <is>
          <t>Churn by Tenure Band</t>
        </is>
      </c>
    </row>
    <row r="35" ht="22" customHeight="1">
      <c r="E35" t="inlineStr">
        <is>
          <t>Tenure Band</t>
        </is>
      </c>
      <c r="F35" t="inlineStr">
        <is>
          <t>Churn Rate</t>
        </is>
      </c>
    </row>
    <row r="36" ht="22" customHeight="1">
      <c r="E36" t="inlineStr">
        <is>
          <t>0–12 months</t>
        </is>
      </c>
      <c r="F36" s="16">
        <f>IFERROR(COUNTIFS('Customer Data'!$D$2:$D$16,"&lt;=12",'Customer Data'!$K$2:$K$16,"Yes")/COUNTIF('Customer Data'!$D$2:$D$16,"&lt;=12"),0)</f>
        <v/>
      </c>
    </row>
    <row r="37" ht="22" customHeight="1">
      <c r="E37" t="inlineStr">
        <is>
          <t>13–24 months</t>
        </is>
      </c>
      <c r="F37" s="16">
        <f>IFERROR(COUNTIFS('Customer Data'!$D$2:$D$16,"&gt;=13",'Customer Data'!$D$2:$D$16,"&lt;=24",'Customer Data'!$K$2:$K$16,"Yes")/COUNTIFS('Customer Data'!$D$2:$D$16,"&gt;=13",'Customer Data'!$D$2:$D$16,"&lt;=24"),0)</f>
        <v/>
      </c>
    </row>
    <row r="38" ht="22" customHeight="1">
      <c r="E38" t="inlineStr">
        <is>
          <t>25+ months</t>
        </is>
      </c>
      <c r="F38" s="16">
        <f>IFERROR(COUNTIFS('Customer Data'!$D$2:$D$16,"&gt;=25",'Customer Data'!$K$2:$K$16,"Yes")/COUNTIF('Customer Data'!$D$2:$D$16,"&gt;=25"),0)</f>
        <v/>
      </c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>
      <c r="A49" s="17" t="inlineStr">
        <is>
          <t>Dashboard notes</t>
        </is>
      </c>
    </row>
    <row r="50" ht="22" customHeight="1">
      <c r="A50" s="18" t="inlineStr">
        <is>
          <t>Revenue at Risk = cumulative TotalCharges for currently filtered customers who have Churn = Yes.</t>
        </is>
      </c>
    </row>
    <row r="51" ht="22" customHeight="1">
      <c r="A51" s="18" t="inlineStr">
        <is>
          <t>Use the three yellow dropdowns above to change the KPI view.</t>
        </is>
      </c>
    </row>
    <row r="52" ht="22" customHeight="1">
      <c r="A52" s="18" t="inlineStr">
        <is>
          <t>The charts show overall churn patterns; KPI cards respond to the selected filters.</t>
        </is>
      </c>
    </row>
    <row r="53" ht="22" customHeight="1"/>
    <row r="54" ht="22" customHeight="1"/>
  </sheetData>
  <mergeCells count="18">
    <mergeCell ref="E7:F9"/>
    <mergeCell ref="A4:H4"/>
    <mergeCell ref="D12:E12"/>
    <mergeCell ref="E34:F34"/>
    <mergeCell ref="E6:F6"/>
    <mergeCell ref="C6:D6"/>
    <mergeCell ref="G12:H12"/>
    <mergeCell ref="A50:H50"/>
    <mergeCell ref="A2:H2"/>
    <mergeCell ref="A51:H51"/>
    <mergeCell ref="A52:H52"/>
    <mergeCell ref="A12:B12"/>
    <mergeCell ref="G6:H6"/>
    <mergeCell ref="A1:H1"/>
    <mergeCell ref="A6:B6"/>
    <mergeCell ref="C7:D9"/>
    <mergeCell ref="A7:B9"/>
    <mergeCell ref="G7:H9"/>
  </mergeCells>
  <dataValidations count="3">
    <dataValidation sqref="B5" showDropDown="0" showInputMessage="0" showErrorMessage="0" allowBlank="0" type="list">
      <formula1>"All,Month-to-month,One Year,Two Year"</formula1>
    </dataValidation>
    <dataValidation sqref="E5" showDropDown="0" showInputMessage="0" showErrorMessage="0" allowBlank="0" type="list">
      <formula1>"All,0–12 months,13–24 months,25+ months"</formula1>
    </dataValidation>
    <dataValidation sqref="H5" showDropDown="0" showInputMessage="0" showErrorMessage="0" allowBlank="0" type="list">
      <formula1>"All,Credit Card,Bank Transfer,UPI,Debit Card"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9" t="inlineStr">
        <is>
          <t>Task 2 Data Quality Summary</t>
        </is>
      </c>
    </row>
    <row r="3">
      <c r="A3" t="inlineStr">
        <is>
          <t>Records</t>
        </is>
      </c>
      <c r="B3" t="n">
        <v>15</v>
      </c>
    </row>
    <row r="4">
      <c r="A4" t="inlineStr">
        <is>
          <t>Columns</t>
        </is>
      </c>
      <c r="B4" t="n">
        <v>11</v>
      </c>
    </row>
    <row r="5">
      <c r="A5" t="inlineStr">
        <is>
          <t>Missing values observed</t>
        </is>
      </c>
      <c r="B5" t="n">
        <v>0</v>
      </c>
    </row>
    <row r="6">
      <c r="A6" t="inlineStr">
        <is>
          <t>Duplicate Customer IDs</t>
        </is>
      </c>
      <c r="B6" t="n">
        <v>0</v>
      </c>
    </row>
    <row r="7">
      <c r="A7" t="inlineStr">
        <is>
          <t>Churned customers</t>
        </is>
      </c>
      <c r="B7" t="n">
        <v>7</v>
      </c>
    </row>
    <row r="8">
      <c r="A8" t="inlineStr">
        <is>
          <t>Non-churned customers</t>
        </is>
      </c>
      <c r="B8" t="n">
        <v>8</v>
      </c>
    </row>
    <row r="9">
      <c r="A9" t="inlineStr">
        <is>
          <t>Churn rate</t>
        </is>
      </c>
      <c r="B9" s="16" t="n">
        <v>0.4666666666666667</v>
      </c>
    </row>
    <row r="10">
      <c r="A10" t="inlineStr">
        <is>
          <t>Retention rate</t>
        </is>
      </c>
      <c r="B10" s="16" t="n">
        <v>0.5333333333333333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2026-10-05T17:01:05Z</dcterms:created>
  <dcterms:modified xmlns:dcterms="http://purl.org/dc/terms/" xmlns:xsi="http://www.w3.org/2001/XMLSchema-instance" xsi:type="dcterms:W3CDTF">2026-10-05T17:01:05Z</dcterms:modified>
</cp:coreProperties>
</file>